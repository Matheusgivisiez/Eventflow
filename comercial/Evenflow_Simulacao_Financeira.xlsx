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cao" sheetId="1" state="visible" r:id="rId3"/>
    <sheet name="L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<sst xmlns="http://schemas.openxmlformats.org/spreadsheetml/2006/main" count="50" uniqueCount="50">
  <si>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Evenflow — simulação financeira do evento</t>
  </si>
  <si>
    <t xml:space="preserve">Preencha apenas as células em amarelo. Todo o resto é calculado.</t>
  </si>
  <si>
    <t xml:space="preserve">1. DADOS DO EVENTO</t>
  </si>
  <si>
    <t xml:space="preserve">Nome do evento</t>
  </si>
  <si>
    <t xml:space="preserve">Exemplo: Festa da Virada</t>
  </si>
  <si>
    <t xml:space="preserve">Meta / capacidade de ingressos</t>
  </si>
  <si>
    <t xml:space="preserve">Preço médio do ingresso</t>
  </si>
  <si>
    <t xml:space="preserve">2. TAXAS</t>
  </si>
  <si>
    <t xml:space="preserve">Taxa de plataforma — Evenflow</t>
  </si>
  <si>
    <t xml:space="preserve">Conferida no checkout da Evenflow (PLATFORM_FEE_RATE = 0,08) em 14/09/2026. Sem piso mínimo por ingresso.</t>
  </si>
  <si>
    <t xml:space="preserve">Taxa de processamento — Evenflow</t>
  </si>
  <si>
    <t xml:space="preserve">Hoje não há taxa de processamento cobrada por fora. Confirmar com o responsável financeiro.</t>
  </si>
  <si>
    <t xml:space="preserve">Taxa de plataforma — concorrente</t>
  </si>
  <si>
    <t xml:space="preserve">Exemplo: Sympla, 10% para eventos pagos (mín. R$ 3,99 em ingressos até R$ 39,90). Consultado em 14/09/2026. Troque pelo concorrente real do produtor.</t>
  </si>
  <si>
    <t xml:space="preserve">Taxa de processamento — concorrente</t>
  </si>
  <si>
    <t xml:space="preserve">Sympla publica 2% a 2,5%; usado 2,25%. ATENÇÃO: a Central de Ajuda da Sympla descreve o processamento como pago pelo COMPRADOR. Se o produtor repassa a taxa, zere esta célula antes de comparar.</t>
  </si>
  <si>
    <t xml:space="preserve">3. RESULTADO</t>
  </si>
  <si>
    <t xml:space="preserve">Evenflow</t>
  </si>
  <si>
    <t xml:space="preserve">Concorrente</t>
  </si>
  <si>
    <t xml:space="preserve">Receita bruta (ingressos × preço médio)</t>
  </si>
  <si>
    <t xml:space="preserve">Custo total da plataforma</t>
  </si>
  <si>
    <t xml:space="preserve">Receita do produtor — taxa absorvida por ele</t>
  </si>
  <si>
    <t xml:space="preserve">Receita do produtor — taxa repassada ao comprador</t>
  </si>
  <si>
    <t xml:space="preserve">Preço final para o comprador — taxa repassada</t>
  </si>
  <si>
    <t xml:space="preserve">DIFERENÇA DE CUSTO NO EVENTO  (concorrente − Evenflow)</t>
  </si>
  <si>
    <t xml:space="preserve">Diferença por ingresso vendido</t>
  </si>
  <si>
    <t xml:space="preserve">Como ler este número</t>
  </si>
  <si>
    <t xml:space="preserve">Positivo: o cenário comparado custaria mais ao evento do que a Evenflow.</t>
  </si>
  <si>
    <t xml:space="preserve">Negativo: o cenário comparado custaria menos. Diga isso ao produtor e leve a conversa para operação e acompanhamento.</t>
  </si>
  <si>
    <t xml:space="preserve">O cálculo não inclui tributos, tarifas de saque, parcelamento nem antecipação. É estimativa de custo, não garantia de resultado.</t>
  </si>
  <si>
    <t xml:space="preserve">Piso por ingresso não entra nesta conta. Em ingresso barato ele muda tudo: um piso de R$ 3,99 num ingresso de R$ 30 equivale a 13,3%.</t>
  </si>
  <si>
    <t xml:space="preserve">Antes de usar: pergunte se o produtor absorve ou repassa a taxa hoje. Se ele repassa, o custo dele na plataforma atual pode ser perto de zero.</t>
  </si>
  <si>
    <t xml:space="preserve">Legenda:  células amarelas = preencher.  Texto azul = valor digitado.  Texto preto = fórmula.</t>
  </si>
  <si>
    <t xml:space="preserve">Receita por lote</t>
  </si>
  <si>
    <t xml:space="preserve">Preencha nome, quantidade e preço de cada lote. As três últimas colunas são calculadas.</t>
  </si>
  <si>
    <t xml:space="preserve">Lote</t>
  </si>
  <si>
    <t xml:space="preserve">Quantidade</t>
  </si>
  <si>
    <t xml:space="preserve">Preço</t>
  </si>
  <si>
    <t xml:space="preserve">Receita bruta</t>
  </si>
  <si>
    <t xml:space="preserve">Taxa Evenflow</t>
  </si>
  <si>
    <t xml:space="preserve">Receita líquida</t>
  </si>
  <si>
    <t xml:space="preserve">Promocional</t>
  </si>
  <si>
    <t xml:space="preserve">1º Lote</t>
  </si>
  <si>
    <t xml:space="preserve">2º Lote</t>
  </si>
  <si>
    <t xml:space="preserve">3º Lote</t>
  </si>
  <si>
    <t xml:space="preserve">Última oportunidade</t>
  </si>
  <si>
    <t xml:space="preserve">Total</t>
  </si>
  <si>
    <t xml:space="preserve">Preço médio ponderado</t>
  </si>
  <si>
    <t xml:space="preserve">Use este preço médio na aba Simulacao.</t>
  </si>
  <si>
    <t xml:space="preserve">Os lotes preenchidos são um exemplo de formato. Substitua pelos lotes reais do evento do produtor.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</si>
</sst>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&quot;R$ &quot;#,##0.00;&quot;(R$ &quot;#,##0.00\);\-"/>
    <numFmt numFmtId="167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534FC"/>
        <bgColor rgb="FF3366FF"/>
      </patternFill>
    </fill>
    <fill>
      <patternFill patternType="solid">
        <fgColor rgb="FFEDE9FE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DE9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6534F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4" min="3" style="0" width="20"/>
    <col collapsed="false" customWidth="true" hidden="false" outlineLevel="0" max="5" min="5" style="0" width="3"/>
    <col collapsed="false" customWidth="true" hidden="false" outlineLevel="0" max="6" min="6" style="0" width="52"/>
  </cols>
  <sheetData>
    <row r="2" customFormat="false" ht="33.75" hidden="false" customHeight="tru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</row>
    <row r="6" customFormat="false" ht="15" hidden="false" customHeight="false" outlineLevel="0" collapsed="false">
      <c r="B6" s="5" t="s">
        <v>3</v>
      </c>
      <c r="C6" s="6" t="s">
        <v>4</v>
      </c>
    </row>
    <row r="7" customFormat="false" ht="15" hidden="false" customHeight="false" outlineLevel="0" collapsed="false">
      <c r="B7" s="5" t="s">
        <v>5</v>
      </c>
      <c r="C7" s="7" t="n">
        <v>600</v>
      </c>
    </row>
    <row r="8" customFormat="false" ht="15" hidden="false" customHeight="false" outlineLevel="0" collapsed="false">
      <c r="B8" s="5" t="s">
        <v>6</v>
      </c>
      <c r="C8" s="8" t="n">
        <v>65</v>
      </c>
    </row>
    <row r="10" customFormat="false" ht="15" hidden="false" customHeight="false" outlineLevel="0" collapsed="false">
      <c r="B10" s="3" t="s">
        <v>7</v>
      </c>
      <c r="C10" s="4"/>
      <c r="D10" s="4"/>
    </row>
    <row r="11" customFormat="false" ht="22.35" hidden="false" customHeight="false" outlineLevel="0" collapsed="false">
      <c r="B11" s="5" t="s">
        <v>8</v>
      </c>
      <c r="C11" s="9" t="n">
        <v>0.08</v>
      </c>
      <c r="F11" s="10" t="s">
        <v>9</v>
      </c>
    </row>
    <row r="12" customFormat="false" ht="22.35" hidden="false" customHeight="false" outlineLevel="0" collapsed="false">
      <c r="B12" s="5" t="s">
        <v>10</v>
      </c>
      <c r="C12" s="9" t="n">
        <v>0</v>
      </c>
      <c r="F12" s="10" t="s">
        <v>11</v>
      </c>
    </row>
    <row r="13" customFormat="false" ht="32.8" hidden="false" customHeight="false" outlineLevel="0" collapsed="false">
      <c r="B13" s="5" t="s">
        <v>12</v>
      </c>
      <c r="C13" s="9" t="n">
        <v>0.1</v>
      </c>
      <c r="F13" s="10" t="s">
        <v>13</v>
      </c>
    </row>
    <row r="14" customFormat="false" ht="43.25" hidden="false" customHeight="false" outlineLevel="0" collapsed="false">
      <c r="B14" s="5" t="s">
        <v>14</v>
      </c>
      <c r="C14" s="9" t="n">
        <v>0.0225</v>
      </c>
      <c r="F14" s="10" t="s">
        <v>15</v>
      </c>
    </row>
    <row r="16" customFormat="false" ht="15" hidden="false" customHeight="false" outlineLevel="0" collapsed="false">
      <c r="B16" s="3" t="s">
        <v>16</v>
      </c>
      <c r="C16" s="11" t="s">
        <v>17</v>
      </c>
      <c r="D16" s="11" t="s">
        <v>18</v>
      </c>
    </row>
    <row r="17" customFormat="false" ht="15" hidden="false" customHeight="false" outlineLevel="0" collapsed="false">
      <c r="B17" s="5" t="s">
        <v>19</v>
      </c>
      <c r="C17" s="12" t="n">
        <f aca="false">C7*C8</f>
        <v>39000</v>
      </c>
      <c r="D17" s="12" t="n">
        <f aca="false">C7*C8</f>
        <v>39000</v>
      </c>
    </row>
    <row r="18" customFormat="false" ht="15" hidden="false" customHeight="false" outlineLevel="0" collapsed="false">
      <c r="B18" s="5" t="s">
        <v>20</v>
      </c>
      <c r="C18" s="12" t="n">
        <f aca="false">C17*(C11+C12)</f>
        <v>3120</v>
      </c>
      <c r="D18" s="12" t="n">
        <f aca="false">D17*(C13+C14)</f>
        <v>4777.5</v>
      </c>
    </row>
    <row r="19" customFormat="false" ht="15" hidden="false" customHeight="false" outlineLevel="0" collapsed="false">
      <c r="B19" s="5" t="s">
        <v>21</v>
      </c>
      <c r="C19" s="12" t="n">
        <f aca="false">C17-C18</f>
        <v>35880</v>
      </c>
      <c r="D19" s="12" t="n">
        <f aca="false">D17-D18</f>
        <v>34222.5</v>
      </c>
    </row>
    <row r="20" customFormat="false" ht="15" hidden="false" customHeight="false" outlineLevel="0" collapsed="false">
      <c r="B20" s="5" t="s">
        <v>22</v>
      </c>
      <c r="C20" s="12" t="n">
        <f aca="false">C17</f>
        <v>39000</v>
      </c>
      <c r="D20" s="12" t="n">
        <f aca="false">D17</f>
        <v>39000</v>
      </c>
    </row>
    <row r="21" customFormat="false" ht="15" hidden="false" customHeight="false" outlineLevel="0" collapsed="false">
      <c r="B21" s="5" t="s">
        <v>23</v>
      </c>
      <c r="C21" s="12" t="n">
        <f aca="false">C8*(1+C11+C12)</f>
        <v>70.2</v>
      </c>
      <c r="D21" s="12" t="n">
        <f aca="false">C8*(1+C13+C14)</f>
        <v>72.9625</v>
      </c>
    </row>
    <row r="23" customFormat="false" ht="16.15" hidden="false" customHeight="false" outlineLevel="0" collapsed="false">
      <c r="B23" s="13" t="s">
        <v>24</v>
      </c>
      <c r="C23" s="14" t="n">
        <f aca="false">D18-C18</f>
        <v>1657.5</v>
      </c>
    </row>
    <row r="24" customFormat="false" ht="15" hidden="false" customHeight="false" outlineLevel="0" collapsed="false">
      <c r="B24" s="0" t="s">
        <v>25</v>
      </c>
      <c r="C24" s="15" t="n">
        <f aca="false">IFERROR(C23/C7,0)</f>
        <v>2.7625</v>
      </c>
    </row>
    <row r="26" customFormat="false" ht="15" hidden="false" customHeight="false" outlineLevel="0" collapsed="false">
      <c r="B26" s="13" t="s">
        <v>26</v>
      </c>
    </row>
    <row r="27" customFormat="false" ht="15" hidden="false" customHeight="false" outlineLevel="0" collapsed="false">
      <c r="B27" s="16" t="s">
        <v>27</v>
      </c>
    </row>
    <row r="28" customFormat="false" ht="15" hidden="false" customHeight="false" outlineLevel="0" collapsed="false">
      <c r="B28" s="16" t="s">
        <v>28</v>
      </c>
    </row>
    <row r="29" customFormat="false" ht="15" hidden="false" customHeight="false" outlineLevel="0" collapsed="false">
      <c r="B29" s="16" t="s">
        <v>29</v>
      </c>
    </row>
    <row r="30" customFormat="false" ht="15" hidden="false" customHeight="false" outlineLevel="0" collapsed="false">
      <c r="B30" s="16" t="s">
        <v>30</v>
      </c>
    </row>
    <row r="31" customFormat="false" ht="15" hidden="false" customHeight="false" outlineLevel="0" collapsed="false">
      <c r="B31" s="16" t="s">
        <v>31</v>
      </c>
    </row>
    <row r="33" customFormat="false" ht="15" hidden="false" customHeight="false" outlineLevel="0" collapsed="false">
      <c r="B33" s="2" t="s">
        <v>32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7" min="5" style="0" width="18"/>
  </cols>
  <sheetData>
    <row r="2" customFormat="false" ht="30" hidden="false" customHeight="true" outlineLevel="0" collapsed="false">
      <c r="B2" s="1" t="s">
        <v>33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34</v>
      </c>
    </row>
    <row r="5" customFormat="false" ht="21.75" hidden="false" customHeight="true" outlineLevel="0" collapsed="false">
      <c r="B5" s="17" t="s">
        <v>35</v>
      </c>
      <c r="C5" s="18" t="s">
        <v>36</v>
      </c>
      <c r="D5" s="18" t="s">
        <v>37</v>
      </c>
      <c r="E5" s="18" t="s">
        <v>38</v>
      </c>
      <c r="F5" s="18" t="s">
        <v>39</v>
      </c>
      <c r="G5" s="18" t="s">
        <v>40</v>
      </c>
    </row>
    <row r="6" customFormat="false" ht="15" hidden="false" customHeight="false" outlineLevel="0" collapsed="false">
      <c r="B6" s="6" t="s">
        <v>41</v>
      </c>
      <c r="C6" s="7" t="n">
        <v>50</v>
      </c>
      <c r="D6" s="8" t="n">
        <v>45</v>
      </c>
      <c r="E6" s="12" t="n">
        <f aca="false">IF(C6="","",C6*D6)</f>
        <v>2250</v>
      </c>
      <c r="F6" s="12" t="n">
        <f aca="false">IF(E6="","",E6*Simulacao!$C$11)</f>
        <v>180</v>
      </c>
      <c r="G6" s="12" t="n">
        <f aca="false">IF(E6="","",E6-F6)</f>
        <v>2070</v>
      </c>
    </row>
    <row r="7" customFormat="false" ht="15" hidden="false" customHeight="false" outlineLevel="0" collapsed="false">
      <c r="B7" s="6" t="s">
        <v>42</v>
      </c>
      <c r="C7" s="7" t="n">
        <v>130</v>
      </c>
      <c r="D7" s="8" t="n">
        <v>55</v>
      </c>
      <c r="E7" s="12" t="n">
        <f aca="false">IF(C7="","",C7*D7)</f>
        <v>7150</v>
      </c>
      <c r="F7" s="12" t="n">
        <f aca="false">IF(E7="","",E7*Simulacao!$C$11)</f>
        <v>572</v>
      </c>
      <c r="G7" s="12" t="n">
        <f aca="false">IF(E7="","",E7-F7)</f>
        <v>6578</v>
      </c>
    </row>
    <row r="8" customFormat="false" ht="15" hidden="false" customHeight="false" outlineLevel="0" collapsed="false">
      <c r="B8" s="6" t="s">
        <v>43</v>
      </c>
      <c r="C8" s="7" t="n">
        <v>170</v>
      </c>
      <c r="D8" s="8" t="n">
        <v>66</v>
      </c>
      <c r="E8" s="12" t="n">
        <f aca="false">IF(C8="","",C8*D8)</f>
        <v>11220</v>
      </c>
      <c r="F8" s="12" t="n">
        <f aca="false">IF(E8="","",E8*Simulacao!$C$11)</f>
        <v>897.6</v>
      </c>
      <c r="G8" s="12" t="n">
        <f aca="false">IF(E8="","",E8-F8)</f>
        <v>10322.4</v>
      </c>
    </row>
    <row r="9" customFormat="false" ht="15" hidden="false" customHeight="false" outlineLevel="0" collapsed="false">
      <c r="B9" s="6" t="s">
        <v>44</v>
      </c>
      <c r="C9" s="7" t="n">
        <v>150</v>
      </c>
      <c r="D9" s="8" t="n">
        <v>75</v>
      </c>
      <c r="E9" s="12" t="n">
        <f aca="false">IF(C9="","",C9*D9)</f>
        <v>11250</v>
      </c>
      <c r="F9" s="12" t="n">
        <f aca="false">IF(E9="","",E9*Simulacao!$C$11)</f>
        <v>900</v>
      </c>
      <c r="G9" s="12" t="n">
        <f aca="false">IF(E9="","",E9-F9)</f>
        <v>10350</v>
      </c>
    </row>
    <row r="10" customFormat="false" ht="15" hidden="false" customHeight="false" outlineLevel="0" collapsed="false">
      <c r="B10" s="6" t="s">
        <v>45</v>
      </c>
      <c r="C10" s="7" t="n">
        <v>100</v>
      </c>
      <c r="D10" s="8" t="n">
        <v>90</v>
      </c>
      <c r="E10" s="12" t="n">
        <f aca="false">IF(C10="","",C10*D10)</f>
        <v>9000</v>
      </c>
      <c r="F10" s="12" t="n">
        <f aca="false">IF(E10="","",E10*Simulacao!$C$11)</f>
        <v>720</v>
      </c>
      <c r="G10" s="12" t="n">
        <f aca="false">IF(E10="","",E10-F10)</f>
        <v>8280</v>
      </c>
    </row>
    <row r="11" customFormat="false" ht="15" hidden="false" customHeight="false" outlineLevel="0" collapsed="false">
      <c r="B11" s="6"/>
      <c r="C11" s="7"/>
      <c r="D11" s="8"/>
      <c r="E11" s="12" t="str">
        <f aca="false">IF(C11="","",C11*D11)</f>
        <v/>
      </c>
      <c r="F11" s="12" t="str">
        <f aca="false">IF(E11="","",E11*Simulacao!$C$11)</f>
        <v/>
      </c>
      <c r="G11" s="12" t="str">
        <f aca="false">IF(E11="","",E11-F11)</f>
        <v/>
      </c>
    </row>
    <row r="12" customFormat="false" ht="15" hidden="false" customHeight="false" outlineLevel="0" collapsed="false">
      <c r="B12" s="6"/>
      <c r="C12" s="7"/>
      <c r="D12" s="8"/>
      <c r="E12" s="12" t="str">
        <f aca="false">IF(C12="","",C12*D12)</f>
        <v/>
      </c>
      <c r="F12" s="12" t="str">
        <f aca="false">IF(E12="","",E12*Simulacao!$C$11)</f>
        <v/>
      </c>
      <c r="G12" s="12" t="str">
        <f aca="false">IF(E12="","",E12-F12)</f>
        <v/>
      </c>
    </row>
    <row r="13" customFormat="false" ht="15" hidden="false" customHeight="false" outlineLevel="0" collapsed="false">
      <c r="B13" s="6"/>
      <c r="C13" s="7"/>
      <c r="D13" s="8"/>
      <c r="E13" s="12" t="str">
        <f aca="false">IF(C13="","",C13*D13)</f>
        <v/>
      </c>
      <c r="F13" s="12" t="str">
        <f aca="false">IF(E13="","",E13*Simulacao!$C$11)</f>
        <v/>
      </c>
      <c r="G13" s="12" t="str">
        <f aca="false">IF(E13="","",E13-F13)</f>
        <v/>
      </c>
    </row>
    <row r="14" customFormat="false" ht="15" hidden="false" customHeight="false" outlineLevel="0" collapsed="false">
      <c r="B14" s="6"/>
      <c r="C14" s="7"/>
      <c r="D14" s="8"/>
      <c r="E14" s="12" t="str">
        <f aca="false">IF(C14="","",C14*D14)</f>
        <v/>
      </c>
      <c r="F14" s="12" t="str">
        <f aca="false">IF(E14="","",E14*Simulacao!$C$11)</f>
        <v/>
      </c>
      <c r="G14" s="12" t="str">
        <f aca="false">IF(E14="","",E14-F14)</f>
        <v/>
      </c>
    </row>
    <row r="15" customFormat="false" ht="15" hidden="false" customHeight="false" outlineLevel="0" collapsed="false">
      <c r="B15" s="6"/>
      <c r="C15" s="7"/>
      <c r="D15" s="8"/>
      <c r="E15" s="12" t="str">
        <f aca="false">IF(C15="","",C15*D15)</f>
        <v/>
      </c>
      <c r="F15" s="12" t="str">
        <f aca="false">IF(E15="","",E15*Simulacao!$C$11)</f>
        <v/>
      </c>
      <c r="G15" s="12" t="str">
        <f aca="false">IF(E15="","",E15-F15)</f>
        <v/>
      </c>
    </row>
    <row r="16" customFormat="false" ht="15" hidden="false" customHeight="false" outlineLevel="0" collapsed="false">
      <c r="B16" s="13" t="s">
        <v>46</v>
      </c>
      <c r="C16" s="19" t="n">
        <f aca="false">SUM(C6:C15)</f>
        <v>600</v>
      </c>
      <c r="E16" s="20" t="n">
        <f aca="false">SUM(E6:E15)</f>
        <v>40870</v>
      </c>
      <c r="F16" s="20" t="n">
        <f aca="false">SUM(F6:F15)</f>
        <v>3269.6</v>
      </c>
      <c r="G16" s="20" t="n">
        <f aca="false">SUM(G6:G15)</f>
        <v>37600.4</v>
      </c>
    </row>
    <row r="18" customFormat="false" ht="15" hidden="false" customHeight="false" outlineLevel="0" collapsed="false">
      <c r="B18" s="5" t="s">
        <v>47</v>
      </c>
      <c r="C18" s="15" t="n">
        <f aca="false">IFERROR(E16/C16,0)</f>
        <v>68.1166666666667</v>
      </c>
    </row>
    <row r="19" customFormat="false" ht="15" hidden="false" customHeight="false" outlineLevel="0" collapsed="false">
      <c r="B19" s="2" t="s">
        <v>48</v>
      </c>
    </row>
    <row r="21" customFormat="false" ht="15" hidden="false" customHeight="false" outlineLevel="0" collapsed="false">
      <c r="B21" s="2" t="s">
        <v>49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2026-09-14T20:26:48Z</dcterms:created>
  <dc:creator>openpyxl</dc:creator>
  <dc:description/>
  <dc:language>en-US</dc:language>
  <cp:lastModifiedBy/>
  <dcterms:modified xsi:type="dcterms:W3CDTF">2026-09-14T20:26:48Z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